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Sheet1" sheetId="1" r:id="rId1"/>
    <sheet name="유니티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8" i="2" l="1"/>
  <c r="B31" i="2"/>
  <c r="B25" i="2"/>
  <c r="B16" i="2"/>
  <c r="B40" i="2" s="1"/>
  <c r="B8" i="2"/>
  <c r="B16" i="1" l="1"/>
  <c r="B8" i="1"/>
  <c r="B40" i="1" l="1"/>
  <c r="B38" i="1"/>
  <c r="B31" i="1"/>
  <c r="B25" i="1"/>
</calcChain>
</file>

<file path=xl/sharedStrings.xml><?xml version="1.0" encoding="utf-8"?>
<sst xmlns="http://schemas.openxmlformats.org/spreadsheetml/2006/main" count="157" uniqueCount="70">
  <si>
    <t>합산 점수</t>
    <phoneticPr fontId="1" type="noConversion"/>
  </si>
  <si>
    <t>재무제표 체크리스트</t>
    <phoneticPr fontId="1" type="noConversion"/>
  </si>
  <si>
    <t>손익계산서</t>
    <phoneticPr fontId="1" type="noConversion"/>
  </si>
  <si>
    <t>재무상태표</t>
    <phoneticPr fontId="1" type="noConversion"/>
  </si>
  <si>
    <t>현금흐름표</t>
    <phoneticPr fontId="1" type="noConversion"/>
  </si>
  <si>
    <t>1. 매출이 성장하고 있는가?</t>
    <phoneticPr fontId="1" type="noConversion"/>
  </si>
  <si>
    <t>2. 순이익이 성장하고 있는가?</t>
    <phoneticPr fontId="1" type="noConversion"/>
  </si>
  <si>
    <t>3. 매출 규모가 동종 업계 대비 좋은가?</t>
    <phoneticPr fontId="1" type="noConversion"/>
  </si>
  <si>
    <t>4. 순이익률이 동종 업계 대비 좋은가?</t>
    <phoneticPr fontId="1" type="noConversion"/>
  </si>
  <si>
    <t>4. 매출채권과 매입채무는 적절한가?</t>
    <phoneticPr fontId="1" type="noConversion"/>
  </si>
  <si>
    <t>1. 당기순이익과 영업활동 현금흐름 비교</t>
    <phoneticPr fontId="1" type="noConversion"/>
  </si>
  <si>
    <r>
      <t>2</t>
    </r>
    <r>
      <rPr>
        <sz val="12"/>
        <color rgb="FF000000"/>
        <rFont val="굴림"/>
        <family val="3"/>
        <charset val="129"/>
      </rPr>
      <t>. 잉여 현금흐름의 추이는?</t>
    </r>
    <phoneticPr fontId="1" type="noConversion"/>
  </si>
  <si>
    <t>3. 영업+, 투자-, 재무-</t>
    <phoneticPr fontId="1" type="noConversion"/>
  </si>
  <si>
    <t>4. 영업+, 투자-,재무+</t>
    <phoneticPr fontId="1" type="noConversion"/>
  </si>
  <si>
    <t>점수</t>
    <phoneticPr fontId="1" type="noConversion"/>
  </si>
  <si>
    <t>비고</t>
    <phoneticPr fontId="1" type="noConversion"/>
  </si>
  <si>
    <t>총      점</t>
    <phoneticPr fontId="1" type="noConversion"/>
  </si>
  <si>
    <t>매출 성장률에 따른 점수 표기</t>
    <phoneticPr fontId="1" type="noConversion"/>
  </si>
  <si>
    <t>순이익 성장률에 따른 점수 표기</t>
    <phoneticPr fontId="1" type="noConversion"/>
  </si>
  <si>
    <r>
      <rPr>
        <sz val="12"/>
        <color rgb="FF000000"/>
        <rFont val="맑은 고딕"/>
        <family val="3"/>
        <charset val="129"/>
      </rPr>
      <t>순이익률을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업계평균 및 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</si>
  <si>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판관비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</si>
  <si>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규모를</t>
    </r>
    <r>
      <rPr>
        <sz val="12"/>
        <color rgb="FF000000"/>
        <rFont val="Arial"/>
        <family val="2"/>
      </rPr>
      <t xml:space="preserve">  </t>
    </r>
    <r>
      <rPr>
        <sz val="12"/>
        <color rgb="FF000000"/>
        <rFont val="돋움"/>
        <family val="2"/>
        <charset val="129"/>
      </rPr>
      <t xml:space="preserve">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</si>
  <si>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5. 판관비 비용은 적절한가?</t>
    <phoneticPr fontId="1" type="noConversion"/>
  </si>
  <si>
    <r>
      <rPr>
        <sz val="12"/>
        <color rgb="FF000000"/>
        <rFont val="Lato"/>
        <family val="3"/>
      </rPr>
      <t>R&amp;D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</si>
  <si>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부채비율은 적으면 적을수록 좋고 400%가 넘으면 투자 유의</t>
    <phoneticPr fontId="1" type="noConversion"/>
  </si>
  <si>
    <t>1. 부채비율은 적절한가?</t>
    <phoneticPr fontId="1" type="noConversion"/>
  </si>
  <si>
    <t>2. 유동비율이 좋은가?</t>
    <phoneticPr fontId="1" type="noConversion"/>
  </si>
  <si>
    <t>3. 당좌비율이 좋은가?</t>
    <phoneticPr fontId="1" type="noConversion"/>
  </si>
  <si>
    <t>유동비율은 100% 이상이 좋음</t>
    <phoneticPr fontId="1" type="noConversion"/>
  </si>
  <si>
    <t>당좌비율은 100% 이상이 좋음</t>
    <phoneticPr fontId="1" type="noConversion"/>
  </si>
  <si>
    <r>
      <rPr>
        <sz val="12"/>
        <color rgb="FF000000"/>
        <rFont val="맑은 고딕"/>
        <family val="3"/>
        <charset val="129"/>
      </rPr>
      <t>매출채권이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갑자기 </t>
    </r>
    <r>
      <rPr>
        <sz val="12"/>
        <color rgb="FF000000"/>
        <rFont val="맑은 고딕"/>
        <family val="3"/>
        <charset val="129"/>
      </rPr>
      <t>과다하게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많아지면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조작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의심</t>
    </r>
    <phoneticPr fontId="1" type="noConversion"/>
  </si>
  <si>
    <t>금액 차이가 심하면 매출-&gt;채권회수 문제 의심</t>
    <phoneticPr fontId="1" type="noConversion"/>
  </si>
  <si>
    <t>충분한 현금을 보유하고 있어야 안정적</t>
    <phoneticPr fontId="1" type="noConversion"/>
  </si>
  <si>
    <t>영업활동과 차입금으로 투자를 많이 하고 있다는 의미</t>
    <phoneticPr fontId="1" type="noConversion"/>
  </si>
  <si>
    <t>6. R&amp;D 비용은 적절한가?</t>
    <phoneticPr fontId="1" type="noConversion"/>
  </si>
  <si>
    <t>5. 영업+, 투자+,재무-</t>
    <phoneticPr fontId="1" type="noConversion"/>
  </si>
  <si>
    <r>
      <rPr>
        <sz val="12"/>
        <color rgb="FF000000"/>
        <rFont val="맑은 고딕"/>
        <family val="3"/>
        <charset val="129"/>
      </rPr>
      <t>영업활동과</t>
    </r>
    <r>
      <rPr>
        <sz val="12"/>
        <color rgb="FF000000"/>
        <rFont val="Lato"/>
        <family val="2"/>
      </rPr>
      <t xml:space="preserve"> </t>
    </r>
    <r>
      <rPr>
        <sz val="12"/>
        <color rgb="FF000000"/>
        <rFont val="맑은 고딕"/>
        <family val="3"/>
        <charset val="129"/>
      </rPr>
      <t>투자회수를 통해 부채를 상환한다는 의미</t>
    </r>
    <phoneticPr fontId="1" type="noConversion"/>
  </si>
  <si>
    <r>
      <rPr>
        <sz val="12"/>
        <color rgb="FF000000"/>
        <rFont val="맑은 고딕"/>
        <family val="3"/>
        <charset val="129"/>
      </rPr>
      <t>영업활동으로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번 돈을 </t>
    </r>
    <r>
      <rPr>
        <sz val="12"/>
        <color rgb="FF000000"/>
        <rFont val="맑은 고딕"/>
        <family val="3"/>
        <charset val="129"/>
      </rPr>
      <t>투자도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많이 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부채도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갚는다는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의미</t>
    </r>
    <phoneticPr fontId="1" type="noConversion"/>
  </si>
  <si>
    <t>비즈니스 모델(정성적 평가)</t>
    <phoneticPr fontId="1" type="noConversion"/>
  </si>
  <si>
    <t>1. 해당 산업에서 몇위 기업인가?</t>
    <phoneticPr fontId="1" type="noConversion"/>
  </si>
  <si>
    <t>2. 독점적인 제품이나 서비스가 있는가?</t>
    <phoneticPr fontId="1" type="noConversion"/>
  </si>
  <si>
    <t>3. 향후 몇년간 매출이 늘어날 잠재력이 있는가?</t>
    <phoneticPr fontId="1" type="noConversion"/>
  </si>
  <si>
    <t>4. 해당 산업의 시장규모는 계속 커지고 있는가?</t>
    <phoneticPr fontId="1" type="noConversion"/>
  </si>
  <si>
    <t>5. 경쟁이 치열한가?</t>
    <phoneticPr fontId="1" type="noConversion"/>
  </si>
  <si>
    <t>해당 산업 1위 기업, 혹은 1위가 될 수 있는 기업인가?</t>
    <phoneticPr fontId="1" type="noConversion"/>
  </si>
  <si>
    <t>독점적인 제품이나 서비스는 향후 성장성의 원동력</t>
    <phoneticPr fontId="1" type="noConversion"/>
  </si>
  <si>
    <t>매출 및 이익의 성장이 곧 주가의 상승이다</t>
    <phoneticPr fontId="1" type="noConversion"/>
  </si>
  <si>
    <t>시장규모가 커지면 해당 산업의 기업도 성장 확률이 높다</t>
    <phoneticPr fontId="1" type="noConversion"/>
  </si>
  <si>
    <t>유망한 산업이어도 경쟁이 치열하다면 투자시 감안해야 한다</t>
    <phoneticPr fontId="1" type="noConversion"/>
  </si>
  <si>
    <t>가치평가 체크리스트</t>
    <phoneticPr fontId="1" type="noConversion"/>
  </si>
  <si>
    <r>
      <rPr>
        <sz val="12"/>
        <color rgb="FF000000"/>
        <rFont val="굴림"/>
        <family val="3"/>
        <charset val="129"/>
      </rPr>
      <t xml:space="preserve">1, </t>
    </r>
    <r>
      <rPr>
        <sz val="12"/>
        <color rgb="FF000000"/>
        <rFont val="맑은고딕"/>
        <family val="3"/>
        <charset val="129"/>
      </rPr>
      <t>주가수익배수(배) PER</t>
    </r>
    <phoneticPr fontId="1" type="noConversion"/>
  </si>
  <si>
    <r>
      <rPr>
        <sz val="12"/>
        <color rgb="FF000000"/>
        <rFont val="굴림"/>
        <family val="3"/>
        <charset val="129"/>
      </rPr>
      <t xml:space="preserve">2. </t>
    </r>
    <r>
      <rPr>
        <sz val="12"/>
        <color rgb="FF000000"/>
        <rFont val="맑은고딕"/>
        <family val="3"/>
        <charset val="129"/>
      </rPr>
      <t>주가매출액배수(배) PSR</t>
    </r>
    <phoneticPr fontId="1" type="noConversion"/>
  </si>
  <si>
    <r>
      <rPr>
        <sz val="12"/>
        <color rgb="FF000000"/>
        <rFont val="굴림"/>
        <family val="3"/>
        <charset val="129"/>
      </rPr>
      <t xml:space="preserve">3. </t>
    </r>
    <r>
      <rPr>
        <sz val="12"/>
        <color rgb="FF000000"/>
        <rFont val="맑은고딕"/>
        <family val="3"/>
        <charset val="129"/>
      </rPr>
      <t>주가</t>
    </r>
    <r>
      <rPr>
        <sz val="12"/>
        <color rgb="FF000000"/>
        <rFont val="굴림"/>
        <family val="3"/>
        <charset val="129"/>
      </rPr>
      <t>순자산</t>
    </r>
    <r>
      <rPr>
        <sz val="12"/>
        <color rgb="FF000000"/>
        <rFont val="맑은고딕"/>
        <family val="3"/>
        <charset val="129"/>
      </rPr>
      <t>배수(배) P</t>
    </r>
    <r>
      <rPr>
        <sz val="12"/>
        <color rgb="FF000000"/>
        <rFont val="굴림"/>
        <family val="3"/>
        <charset val="129"/>
      </rPr>
      <t>B</t>
    </r>
    <r>
      <rPr>
        <sz val="12"/>
        <color rgb="FF000000"/>
        <rFont val="맑은고딕"/>
        <family val="3"/>
        <charset val="129"/>
      </rPr>
      <t>R</t>
    </r>
    <phoneticPr fontId="1" type="noConversion"/>
  </si>
  <si>
    <r>
      <rPr>
        <sz val="12"/>
        <color rgb="FF000000"/>
        <rFont val="굴림"/>
        <family val="3"/>
        <charset val="129"/>
      </rPr>
      <t xml:space="preserve">4. </t>
    </r>
    <r>
      <rPr>
        <sz val="12"/>
        <color rgb="FF000000"/>
        <rFont val="맑은고딕"/>
        <family val="3"/>
        <charset val="129"/>
      </rPr>
      <t>주가수익성장비율(배)</t>
    </r>
    <r>
      <rPr>
        <sz val="12"/>
        <color rgb="FF000000"/>
        <rFont val="돋움"/>
        <family val="3"/>
        <charset val="129"/>
      </rPr>
      <t xml:space="preserve"> PEG ratio</t>
    </r>
    <phoneticPr fontId="1" type="noConversion"/>
  </si>
  <si>
    <t>가치평가</t>
    <phoneticPr fontId="1" type="noConversion"/>
  </si>
  <si>
    <t>5. 배당 수익률</t>
    <phoneticPr fontId="1" type="noConversion"/>
  </si>
  <si>
    <t>BM(Business Model) 체크리스트</t>
    <phoneticPr fontId="1" type="noConversion"/>
  </si>
  <si>
    <t>산업평균, 경쟁사와 비교. 단, 기업의 미래 기대치에 변화가 커질 수 있음</t>
    <phoneticPr fontId="1" type="noConversion"/>
  </si>
  <si>
    <t>과거 3~5년 순이익 증가율 및 향후 예상 순이익 증가율을 고려해서 판단</t>
    <phoneticPr fontId="1" type="noConversion"/>
  </si>
  <si>
    <t>Value</t>
    <phoneticPr fontId="1" type="noConversion"/>
  </si>
  <si>
    <t>Value.Price/Sales</t>
    <phoneticPr fontId="1" type="noConversion"/>
  </si>
  <si>
    <t>산업평균 값보다 낮음
1.92 4.22
1.80 3.93</t>
    <phoneticPr fontId="1" type="noConversion"/>
  </si>
  <si>
    <t xml:space="preserve">산업 평균까지 올라간다고 가정하면 주가는
(3.93 / 1.8)
2.18 상승가능
</t>
    <phoneticPr fontId="1" type="noConversion"/>
  </si>
  <si>
    <t>1.산업평균과 비교
2.동종업계하고 비교</t>
    <phoneticPr fontId="1" type="noConversion"/>
  </si>
  <si>
    <t>Value.Price/Book</t>
    <phoneticPr fontId="1" type="noConversion"/>
  </si>
  <si>
    <t>Value.P/E GAAP</t>
    <phoneticPr fontId="1" type="noConversion"/>
  </si>
  <si>
    <t>Value.PEG GAAP</t>
    <phoneticPr fontId="1" type="noConversion"/>
  </si>
  <si>
    <t>0.5 이하에서 매수
1.5 이상에서 매도</t>
    <phoneticPr fontId="1" type="noConversion"/>
  </si>
  <si>
    <t>AAPL</t>
    <phoneticPr fontId="1" type="noConversion"/>
  </si>
  <si>
    <t>6.45
3.93
3.93 / 6.45 = 0.6배 하락가능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</si>
</sst>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배달의민족 도현"/>
      <family val="3"/>
      <charset val="129"/>
    </font>
    <font>
      <b/>
      <sz val="12"/>
      <color rgb="FF000000"/>
      <name val="Lato"/>
    </font>
    <font>
      <sz val="12"/>
      <color theme="1"/>
      <name val="맑은 고딕"/>
      <family val="2"/>
      <charset val="129"/>
      <scheme val="minor"/>
    </font>
    <font>
      <b/>
      <sz val="12"/>
      <color rgb="FF1F1F9C"/>
      <name val="맑은 고딕"/>
      <family val="3"/>
      <charset val="129"/>
    </font>
    <font>
      <sz val="12"/>
      <color rgb="FF000000"/>
      <name val="굴림"/>
      <family val="3"/>
      <charset val="129"/>
    </font>
    <font>
      <sz val="12"/>
      <color rgb="FF000000"/>
      <name val="맑은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Lato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돋움"/>
      <family val="2"/>
      <charset val="129"/>
    </font>
    <font>
      <sz val="12"/>
      <color rgb="FF000000"/>
      <name val="Lato"/>
      <family val="3"/>
      <charset val="129"/>
    </font>
    <font>
      <sz val="12"/>
      <color rgb="FF000000"/>
      <name val="Lato"/>
      <family val="3"/>
    </font>
    <font>
      <sz val="12"/>
      <color rgb="FF000000"/>
      <name val="돋움"/>
      <family val="3"/>
      <charset val="129"/>
    </font>
    <font>
      <b/>
      <sz val="12"/>
      <color rgb="FF1F1F9C"/>
      <name val="맑은고딕"/>
      <family val="3"/>
      <charset val="129"/>
    </font>
    <font>
      <b/>
      <sz val="18"/>
      <color rgb="FF1F1F9C"/>
      <name val="맑은 고딕"/>
      <family val="3"/>
      <charset val="129"/>
    </font>
    <font>
      <b/>
      <sz val="18"/>
      <color rgb="FF000000"/>
      <name val="La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10" fontId="9" fillId="2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6" fontId="18" fillId="4" borderId="1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70" zoomScaleNormal="70" workbookViewId="0">
      <selection activeCell="G14" sqref="G14"/>
    </sheetView>
  </sheetViews>
  <sheetFormatPr defaultRowHeight="17.5"/>
  <cols>
    <col min="1" max="1" width="44.75" style="5" customWidth="1"/>
    <col min="2" max="2" width="15.58203125" style="5" customWidth="1"/>
    <col min="3" max="3" width="69.08203125" style="5" customWidth="1"/>
    <col min="4" max="4" width="15.6640625" bestFit="1" customWidth="1"/>
    <col min="5" max="5" width="28.5" customWidth="1"/>
    <col min="6" max="6" width="20.6640625" customWidth="1"/>
    <col min="8" max="8" width="11.75" bestFit="1" customWidth="1"/>
  </cols>
  <sheetData>
    <row r="1" spans="1:8" ht="44.25" customHeight="1">
      <c r="A1" s="14" t="s">
        <v>56</v>
      </c>
      <c r="B1" s="14"/>
      <c r="C1" s="14"/>
      <c r="G1" t="s">
        <v>68</v>
      </c>
    </row>
    <row r="2" spans="1:8" ht="27" customHeight="1">
      <c r="A2" s="1" t="s">
        <v>38</v>
      </c>
      <c r="B2" s="8" t="s">
        <v>14</v>
      </c>
      <c r="C2" s="8" t="s">
        <v>15</v>
      </c>
    </row>
    <row r="3" spans="1:8" ht="27" customHeight="1">
      <c r="A3" s="2" t="s">
        <v>39</v>
      </c>
      <c r="B3" s="6">
        <v>9</v>
      </c>
      <c r="C3" s="10" t="s">
        <v>44</v>
      </c>
    </row>
    <row r="4" spans="1:8" ht="27" customHeight="1">
      <c r="A4" s="2" t="s">
        <v>40</v>
      </c>
      <c r="B4" s="6">
        <v>8</v>
      </c>
      <c r="C4" s="6" t="s">
        <v>45</v>
      </c>
    </row>
    <row r="5" spans="1:8" ht="27" customHeight="1">
      <c r="A5" s="2" t="s">
        <v>41</v>
      </c>
      <c r="B5" s="6">
        <v>9</v>
      </c>
      <c r="C5" s="10" t="s">
        <v>46</v>
      </c>
    </row>
    <row r="6" spans="1:8" ht="27" customHeight="1">
      <c r="A6" s="2" t="s">
        <v>42</v>
      </c>
      <c r="B6" s="6">
        <v>10</v>
      </c>
      <c r="C6" s="10" t="s">
        <v>47</v>
      </c>
    </row>
    <row r="7" spans="1:8" ht="27" customHeight="1">
      <c r="A7" s="2" t="s">
        <v>43</v>
      </c>
      <c r="B7" s="6">
        <v>7</v>
      </c>
      <c r="C7" s="9" t="s">
        <v>48</v>
      </c>
    </row>
    <row r="8" spans="1:8" ht="27" customHeight="1">
      <c r="A8" s="3" t="s">
        <v>0</v>
      </c>
      <c r="B8" s="15">
        <f>SUM(B3:B7)</f>
        <v>43</v>
      </c>
      <c r="C8" s="15"/>
    </row>
    <row r="9" spans="1:8" ht="44.25" customHeight="1">
      <c r="A9" s="20" t="s">
        <v>49</v>
      </c>
      <c r="B9" s="20"/>
      <c r="C9" s="20"/>
      <c r="D9" t="s">
        <v>59</v>
      </c>
      <c r="E9" s="21" t="s">
        <v>63</v>
      </c>
    </row>
    <row r="10" spans="1:8" ht="27" customHeight="1">
      <c r="A10" s="12" t="s">
        <v>54</v>
      </c>
      <c r="B10" s="8" t="s">
        <v>14</v>
      </c>
      <c r="C10" s="8" t="s">
        <v>15</v>
      </c>
    </row>
    <row r="11" spans="1:8" ht="27" customHeight="1">
      <c r="A11" s="4" t="s">
        <v>50</v>
      </c>
      <c r="B11" s="6">
        <v>7</v>
      </c>
      <c r="C11" s="10" t="s">
        <v>57</v>
      </c>
      <c r="D11" t="s">
        <v>65</v>
      </c>
      <c r="G11">
        <v>26</v>
      </c>
    </row>
    <row r="12" spans="1:8" ht="102">
      <c r="A12" s="4" t="s">
        <v>51</v>
      </c>
      <c r="B12" s="6">
        <v>9</v>
      </c>
      <c r="C12" s="10" t="s">
        <v>57</v>
      </c>
      <c r="D12" t="s">
        <v>60</v>
      </c>
      <c r="E12" s="21" t="s">
        <v>61</v>
      </c>
      <c r="F12" s="21" t="s">
        <v>62</v>
      </c>
      <c r="G12" s="21" t="s">
        <v>69</v>
      </c>
      <c r="H12" s="22"/>
    </row>
    <row r="13" spans="1:8" ht="27" customHeight="1">
      <c r="A13" s="4" t="s">
        <v>52</v>
      </c>
      <c r="B13" s="6">
        <v>9</v>
      </c>
      <c r="C13" s="10" t="s">
        <v>57</v>
      </c>
      <c r="D13" t="s">
        <v>64</v>
      </c>
    </row>
    <row r="14" spans="1:8" ht="34">
      <c r="A14" s="4" t="s">
        <v>53</v>
      </c>
      <c r="B14" s="6">
        <v>7</v>
      </c>
      <c r="C14" s="10" t="s">
        <v>58</v>
      </c>
      <c r="D14" t="s">
        <v>66</v>
      </c>
      <c r="F14" s="21" t="s">
        <v>67</v>
      </c>
    </row>
    <row r="15" spans="1:8" ht="27" customHeight="1">
      <c r="A15" s="2" t="s">
        <v>55</v>
      </c>
      <c r="B15" s="6">
        <v>5</v>
      </c>
      <c r="C15" s="9"/>
    </row>
    <row r="16" spans="1:8" ht="27" customHeight="1">
      <c r="A16" s="3" t="s">
        <v>0</v>
      </c>
      <c r="B16" s="15">
        <f>SUM(B11:B15)</f>
        <v>37</v>
      </c>
      <c r="C16" s="15"/>
    </row>
    <row r="17" spans="1:3" ht="44.25" customHeight="1">
      <c r="A17" s="20" t="s">
        <v>1</v>
      </c>
      <c r="B17" s="20"/>
      <c r="C17" s="20"/>
    </row>
    <row r="18" spans="1:3" ht="27" customHeight="1">
      <c r="A18" s="1" t="s">
        <v>2</v>
      </c>
      <c r="B18" s="8" t="s">
        <v>14</v>
      </c>
      <c r="C18" s="8" t="s">
        <v>15</v>
      </c>
    </row>
    <row r="19" spans="1:3" ht="27" customHeight="1">
      <c r="A19" s="2" t="s">
        <v>5</v>
      </c>
      <c r="B19" s="6">
        <v>10</v>
      </c>
      <c r="C19" s="6" t="s">
        <v>17</v>
      </c>
    </row>
    <row r="20" spans="1:3" ht="27" customHeight="1">
      <c r="A20" s="2" t="s">
        <v>6</v>
      </c>
      <c r="B20" s="6">
        <v>5</v>
      </c>
      <c r="C20" s="6" t="s">
        <v>18</v>
      </c>
    </row>
    <row r="21" spans="1:3" ht="27" customHeight="1">
      <c r="A21" s="2" t="s">
        <v>7</v>
      </c>
      <c r="B21" s="6">
        <v>10</v>
      </c>
      <c r="C21" s="9" t="s">
        <v>21</v>
      </c>
    </row>
    <row r="22" spans="1:3" ht="27" customHeight="1">
      <c r="A22" s="2" t="s">
        <v>8</v>
      </c>
      <c r="B22" s="6">
        <v>5</v>
      </c>
      <c r="C22" s="9" t="s">
        <v>19</v>
      </c>
    </row>
    <row r="23" spans="1:3" ht="27" customHeight="1">
      <c r="A23" s="2" t="s">
        <v>22</v>
      </c>
      <c r="B23" s="6">
        <v>4</v>
      </c>
      <c r="C23" s="9" t="s">
        <v>20</v>
      </c>
    </row>
    <row r="24" spans="1:3" ht="27" customHeight="1">
      <c r="A24" s="2" t="s">
        <v>34</v>
      </c>
      <c r="B24" s="6">
        <v>7</v>
      </c>
      <c r="C24" s="9" t="s">
        <v>23</v>
      </c>
    </row>
    <row r="25" spans="1:3" ht="27" customHeight="1">
      <c r="A25" s="3" t="s">
        <v>0</v>
      </c>
      <c r="B25" s="15">
        <f>SUM(B19:B24)</f>
        <v>41</v>
      </c>
      <c r="C25" s="15"/>
    </row>
    <row r="26" spans="1:3" ht="24.75" customHeight="1">
      <c r="A26" s="1" t="s">
        <v>3</v>
      </c>
      <c r="B26" s="8" t="s">
        <v>14</v>
      </c>
      <c r="C26" s="8" t="s">
        <v>15</v>
      </c>
    </row>
    <row r="27" spans="1:3" ht="24.75" customHeight="1">
      <c r="A27" s="2" t="s">
        <v>25</v>
      </c>
      <c r="B27" s="6">
        <v>9</v>
      </c>
      <c r="C27" s="6" t="s">
        <v>24</v>
      </c>
    </row>
    <row r="28" spans="1:3" ht="24.75" customHeight="1">
      <c r="A28" s="2" t="s">
        <v>26</v>
      </c>
      <c r="B28" s="6">
        <v>10</v>
      </c>
      <c r="C28" s="6" t="s">
        <v>28</v>
      </c>
    </row>
    <row r="29" spans="1:3" ht="24.75" customHeight="1">
      <c r="A29" s="2" t="s">
        <v>27</v>
      </c>
      <c r="B29" s="6">
        <v>10</v>
      </c>
      <c r="C29" s="6" t="s">
        <v>29</v>
      </c>
    </row>
    <row r="30" spans="1:3" ht="24.75" customHeight="1">
      <c r="A30" s="2" t="s">
        <v>9</v>
      </c>
      <c r="B30" s="6">
        <v>8</v>
      </c>
      <c r="C30" s="9" t="s">
        <v>30</v>
      </c>
    </row>
    <row r="31" spans="1:3" ht="22.5" customHeight="1">
      <c r="A31" s="3" t="s">
        <v>0</v>
      </c>
      <c r="B31" s="15">
        <f>SUM(B27:B30)</f>
        <v>37</v>
      </c>
      <c r="C31" s="15"/>
    </row>
    <row r="32" spans="1:3" ht="20.25" customHeight="1">
      <c r="A32" s="1" t="s">
        <v>4</v>
      </c>
      <c r="B32" s="8" t="s">
        <v>14</v>
      </c>
      <c r="C32" s="8" t="s">
        <v>15</v>
      </c>
    </row>
    <row r="33" spans="1:3" ht="25.5" customHeight="1">
      <c r="A33" s="2" t="s">
        <v>10</v>
      </c>
      <c r="B33" s="6">
        <v>10</v>
      </c>
      <c r="C33" s="10" t="s">
        <v>31</v>
      </c>
    </row>
    <row r="34" spans="1:3" ht="25.5" customHeight="1">
      <c r="A34" s="4" t="s">
        <v>11</v>
      </c>
      <c r="B34" s="6">
        <v>6</v>
      </c>
      <c r="C34" s="6" t="s">
        <v>32</v>
      </c>
    </row>
    <row r="35" spans="1:3" ht="25.5" customHeight="1">
      <c r="A35" s="2" t="s">
        <v>12</v>
      </c>
      <c r="B35" s="17">
        <v>9</v>
      </c>
      <c r="C35" s="9" t="s">
        <v>37</v>
      </c>
    </row>
    <row r="36" spans="1:3" ht="25.5" customHeight="1">
      <c r="A36" s="2" t="s">
        <v>13</v>
      </c>
      <c r="B36" s="18"/>
      <c r="C36" s="7" t="s">
        <v>33</v>
      </c>
    </row>
    <row r="37" spans="1:3" ht="25.5" customHeight="1">
      <c r="A37" s="2" t="s">
        <v>35</v>
      </c>
      <c r="B37" s="19"/>
      <c r="C37" s="11" t="s">
        <v>36</v>
      </c>
    </row>
    <row r="38" spans="1:3">
      <c r="A38" s="3" t="s">
        <v>0</v>
      </c>
      <c r="B38" s="15">
        <f>SUM(B33:B37)</f>
        <v>25</v>
      </c>
      <c r="C38" s="15"/>
    </row>
    <row r="39" spans="1:3" ht="27.75" customHeight="1"/>
    <row r="40" spans="1:3" ht="43.5" customHeight="1">
      <c r="A40" s="13" t="s">
        <v>16</v>
      </c>
      <c r="B40" s="16">
        <f>(B8+B16+B25+B31+B38)/230*100</f>
        <v>79.565217391304344</v>
      </c>
      <c r="C40" s="16"/>
    </row>
  </sheetData>
  <mergeCells count="9">
    <mergeCell ref="B8:C8"/>
    <mergeCell ref="A9:C9"/>
    <mergeCell ref="B16:C16"/>
    <mergeCell ref="A17:C17"/>
    <mergeCell ref="B25:C25"/>
    <mergeCell ref="B31:C31"/>
    <mergeCell ref="B38:C38"/>
    <mergeCell ref="B40:C40"/>
    <mergeCell ref="B35:B3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zoomScale="70" zoomScaleNormal="70" workbookViewId="0">
      <selection sqref="A1:C1"/>
    </sheetView>
  </sheetViews>
  <sheetFormatPr defaultRowHeight="17.5"/>
  <cols>
    <col min="1" max="1" width="44.75" style="5" customWidth="1"/>
    <col min="2" max="2" width="15.58203125" style="5" customWidth="1"/>
    <col min="3" max="3" width="69.08203125" style="5" customWidth="1"/>
  </cols>
  <sheetData>
    <row r="1" spans="1:3" ht="44.25" customHeight="1">
      <c r="A1" s="14" t="s">
        <v>56</v>
      </c>
      <c r="B1" s="14"/>
      <c r="C1" s="14"/>
    </row>
    <row r="2" spans="1:3" ht="27" customHeight="1">
      <c r="A2" s="1" t="s">
        <v>38</v>
      </c>
      <c r="B2" s="8" t="s">
        <v>14</v>
      </c>
      <c r="C2" s="8" t="s">
        <v>15</v>
      </c>
    </row>
    <row r="3" spans="1:3" ht="27" customHeight="1">
      <c r="A3" s="2" t="s">
        <v>39</v>
      </c>
      <c r="B3" s="6">
        <v>9</v>
      </c>
      <c r="C3" s="10" t="s">
        <v>44</v>
      </c>
    </row>
    <row r="4" spans="1:3" ht="27" customHeight="1">
      <c r="A4" s="2" t="s">
        <v>40</v>
      </c>
      <c r="B4" s="6">
        <v>8</v>
      </c>
      <c r="C4" s="6" t="s">
        <v>45</v>
      </c>
    </row>
    <row r="5" spans="1:3" ht="27" customHeight="1">
      <c r="A5" s="2" t="s">
        <v>41</v>
      </c>
      <c r="B5" s="6">
        <v>9</v>
      </c>
      <c r="C5" s="10" t="s">
        <v>46</v>
      </c>
    </row>
    <row r="6" spans="1:3" ht="27" customHeight="1">
      <c r="A6" s="2" t="s">
        <v>42</v>
      </c>
      <c r="B6" s="6">
        <v>10</v>
      </c>
      <c r="C6" s="10" t="s">
        <v>47</v>
      </c>
    </row>
    <row r="7" spans="1:3" ht="27" customHeight="1">
      <c r="A7" s="2" t="s">
        <v>43</v>
      </c>
      <c r="B7" s="6">
        <v>7</v>
      </c>
      <c r="C7" s="9" t="s">
        <v>48</v>
      </c>
    </row>
    <row r="8" spans="1:3" ht="27" customHeight="1">
      <c r="A8" s="3" t="s">
        <v>0</v>
      </c>
      <c r="B8" s="15">
        <f>SUM(B3:B7)</f>
        <v>43</v>
      </c>
      <c r="C8" s="15"/>
    </row>
    <row r="9" spans="1:3" ht="44.25" customHeight="1">
      <c r="A9" s="20" t="s">
        <v>49</v>
      </c>
      <c r="B9" s="20"/>
      <c r="C9" s="20"/>
    </row>
    <row r="10" spans="1:3" ht="27" customHeight="1">
      <c r="A10" s="12" t="s">
        <v>54</v>
      </c>
      <c r="B10" s="8" t="s">
        <v>14</v>
      </c>
      <c r="C10" s="8" t="s">
        <v>15</v>
      </c>
    </row>
    <row r="11" spans="1:3" ht="27" customHeight="1">
      <c r="A11" s="4" t="s">
        <v>50</v>
      </c>
      <c r="B11" s="6">
        <v>7</v>
      </c>
      <c r="C11" s="10" t="s">
        <v>57</v>
      </c>
    </row>
    <row r="12" spans="1:3" ht="27" customHeight="1">
      <c r="A12" s="4" t="s">
        <v>51</v>
      </c>
      <c r="B12" s="6">
        <v>9</v>
      </c>
      <c r="C12" s="10" t="s">
        <v>57</v>
      </c>
    </row>
    <row r="13" spans="1:3" ht="27" customHeight="1">
      <c r="A13" s="4" t="s">
        <v>52</v>
      </c>
      <c r="B13" s="6">
        <v>9</v>
      </c>
      <c r="C13" s="10" t="s">
        <v>57</v>
      </c>
    </row>
    <row r="14" spans="1:3" ht="27" customHeight="1">
      <c r="A14" s="4" t="s">
        <v>53</v>
      </c>
      <c r="B14" s="6">
        <v>7</v>
      </c>
      <c r="C14" s="10" t="s">
        <v>58</v>
      </c>
    </row>
    <row r="15" spans="1:3" ht="27" customHeight="1">
      <c r="A15" s="2" t="s">
        <v>55</v>
      </c>
      <c r="B15" s="6">
        <v>5</v>
      </c>
      <c r="C15" s="9"/>
    </row>
    <row r="16" spans="1:3" ht="27" customHeight="1">
      <c r="A16" s="3" t="s">
        <v>0</v>
      </c>
      <c r="B16" s="15">
        <f>SUM(B11:B15)</f>
        <v>37</v>
      </c>
      <c r="C16" s="15"/>
    </row>
    <row r="17" spans="1:3" ht="44.25" customHeight="1">
      <c r="A17" s="20" t="s">
        <v>1</v>
      </c>
      <c r="B17" s="20"/>
      <c r="C17" s="20"/>
    </row>
    <row r="18" spans="1:3" ht="27" customHeight="1">
      <c r="A18" s="1" t="s">
        <v>2</v>
      </c>
      <c r="B18" s="8" t="s">
        <v>14</v>
      </c>
      <c r="C18" s="8" t="s">
        <v>15</v>
      </c>
    </row>
    <row r="19" spans="1:3" ht="27" customHeight="1">
      <c r="A19" s="2" t="s">
        <v>5</v>
      </c>
      <c r="B19" s="6">
        <v>10</v>
      </c>
      <c r="C19" s="6" t="s">
        <v>17</v>
      </c>
    </row>
    <row r="20" spans="1:3" ht="27" customHeight="1">
      <c r="A20" s="2" t="s">
        <v>6</v>
      </c>
      <c r="B20" s="6">
        <v>5</v>
      </c>
      <c r="C20" s="6" t="s">
        <v>18</v>
      </c>
    </row>
    <row r="21" spans="1:3" ht="27" customHeight="1">
      <c r="A21" s="2" t="s">
        <v>7</v>
      </c>
      <c r="B21" s="6">
        <v>10</v>
      </c>
      <c r="C21" s="9" t="s">
        <v>21</v>
      </c>
    </row>
    <row r="22" spans="1:3" ht="27" customHeight="1">
      <c r="A22" s="2" t="s">
        <v>8</v>
      </c>
      <c r="B22" s="6">
        <v>5</v>
      </c>
      <c r="C22" s="9" t="s">
        <v>19</v>
      </c>
    </row>
    <row r="23" spans="1:3" ht="27" customHeight="1">
      <c r="A23" s="2" t="s">
        <v>22</v>
      </c>
      <c r="B23" s="6">
        <v>4</v>
      </c>
      <c r="C23" s="9" t="s">
        <v>20</v>
      </c>
    </row>
    <row r="24" spans="1:3" ht="27" customHeight="1">
      <c r="A24" s="2" t="s">
        <v>34</v>
      </c>
      <c r="B24" s="6">
        <v>7</v>
      </c>
      <c r="C24" s="9" t="s">
        <v>23</v>
      </c>
    </row>
    <row r="25" spans="1:3" ht="27" customHeight="1">
      <c r="A25" s="3" t="s">
        <v>0</v>
      </c>
      <c r="B25" s="15">
        <f>SUM(B19:B24)</f>
        <v>41</v>
      </c>
      <c r="C25" s="15"/>
    </row>
    <row r="26" spans="1:3" ht="24.75" customHeight="1">
      <c r="A26" s="1" t="s">
        <v>3</v>
      </c>
      <c r="B26" s="8" t="s">
        <v>14</v>
      </c>
      <c r="C26" s="8" t="s">
        <v>15</v>
      </c>
    </row>
    <row r="27" spans="1:3" ht="24.75" customHeight="1">
      <c r="A27" s="2" t="s">
        <v>25</v>
      </c>
      <c r="B27" s="6">
        <v>9</v>
      </c>
      <c r="C27" s="6" t="s">
        <v>24</v>
      </c>
    </row>
    <row r="28" spans="1:3" ht="24.75" customHeight="1">
      <c r="A28" s="2" t="s">
        <v>26</v>
      </c>
      <c r="B28" s="6">
        <v>10</v>
      </c>
      <c r="C28" s="6" t="s">
        <v>28</v>
      </c>
    </row>
    <row r="29" spans="1:3" ht="24.75" customHeight="1">
      <c r="A29" s="2" t="s">
        <v>27</v>
      </c>
      <c r="B29" s="6">
        <v>10</v>
      </c>
      <c r="C29" s="6" t="s">
        <v>29</v>
      </c>
    </row>
    <row r="30" spans="1:3" ht="24.75" customHeight="1">
      <c r="A30" s="2" t="s">
        <v>9</v>
      </c>
      <c r="B30" s="6">
        <v>8</v>
      </c>
      <c r="C30" s="9" t="s">
        <v>30</v>
      </c>
    </row>
    <row r="31" spans="1:3" ht="22.5" customHeight="1">
      <c r="A31" s="3" t="s">
        <v>0</v>
      </c>
      <c r="B31" s="15">
        <f>SUM(B27:B30)</f>
        <v>37</v>
      </c>
      <c r="C31" s="15"/>
    </row>
    <row r="32" spans="1:3" ht="20.25" customHeight="1">
      <c r="A32" s="1" t="s">
        <v>4</v>
      </c>
      <c r="B32" s="8" t="s">
        <v>14</v>
      </c>
      <c r="C32" s="8" t="s">
        <v>15</v>
      </c>
    </row>
    <row r="33" spans="1:3" ht="25.5" customHeight="1">
      <c r="A33" s="2" t="s">
        <v>10</v>
      </c>
      <c r="B33" s="6">
        <v>10</v>
      </c>
      <c r="C33" s="10" t="s">
        <v>31</v>
      </c>
    </row>
    <row r="34" spans="1:3" ht="25.5" customHeight="1">
      <c r="A34" s="4" t="s">
        <v>11</v>
      </c>
      <c r="B34" s="6">
        <v>6</v>
      </c>
      <c r="C34" s="6" t="s">
        <v>32</v>
      </c>
    </row>
    <row r="35" spans="1:3" ht="25.5" customHeight="1">
      <c r="A35" s="2" t="s">
        <v>12</v>
      </c>
      <c r="B35" s="17">
        <v>9</v>
      </c>
      <c r="C35" s="9" t="s">
        <v>37</v>
      </c>
    </row>
    <row r="36" spans="1:3" ht="25.5" customHeight="1">
      <c r="A36" s="2" t="s">
        <v>13</v>
      </c>
      <c r="B36" s="18"/>
      <c r="C36" s="7" t="s">
        <v>33</v>
      </c>
    </row>
    <row r="37" spans="1:3" ht="25.5" customHeight="1">
      <c r="A37" s="2" t="s">
        <v>35</v>
      </c>
      <c r="B37" s="19"/>
      <c r="C37" s="11" t="s">
        <v>36</v>
      </c>
    </row>
    <row r="38" spans="1:3" ht="22.5" customHeight="1">
      <c r="A38" s="3" t="s">
        <v>0</v>
      </c>
      <c r="B38" s="15">
        <f>SUM(B33:B37)</f>
        <v>25</v>
      </c>
      <c r="C38" s="15"/>
    </row>
    <row r="39" spans="1:3" ht="27.75" customHeight="1"/>
    <row r="40" spans="1:3" ht="43.5" customHeight="1">
      <c r="A40" s="13" t="s">
        <v>16</v>
      </c>
      <c r="B40" s="16">
        <f>(B8+B16+B25+B31+B38)/230*100</f>
        <v>79.565217391304344</v>
      </c>
      <c r="C40" s="16"/>
    </row>
  </sheetData>
  <mergeCells count="9">
    <mergeCell ref="B35:B37"/>
    <mergeCell ref="B38:C38"/>
    <mergeCell ref="B40:C40"/>
    <mergeCell ref="B8:C8"/>
    <mergeCell ref="A9:C9"/>
    <mergeCell ref="B16:C16"/>
    <mergeCell ref="A17:C17"/>
    <mergeCell ref="B25:C25"/>
    <mergeCell ref="B31:C3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유니티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hunce</dc:creator>
  <cp:lastModifiedBy>user</cp:lastModifiedBy>
  <dcterms:created xsi:type="dcterms:W3CDTF">2020-08-16T13:42:03Z</dcterms:created>
  <dcterms:modified xsi:type="dcterms:W3CDTF">2021-10-11T10:14:25Z</dcterms:modified>
</cp:coreProperties>
</file>