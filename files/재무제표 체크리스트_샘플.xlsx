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Sheet1" sheetId="1" r:id="rId1"/>
    <sheet name="매출과 매출채권 비율 계산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" i="2" l="1"/>
  <c r="F13" i="2"/>
  <c r="G13" i="2"/>
  <c r="D13" i="2"/>
  <c r="E6" i="2"/>
  <c r="F6" i="2"/>
  <c r="G6" i="2"/>
  <c r="D6" i="2"/>
  <c r="B22" i="1" l="1"/>
  <c r="B15" i="1"/>
  <c r="B9" i="1"/>
  <c r="B24" i="1" l="1"/>
</calcChain>
</file>

<file path=xl/sharedStrings.xml><?xml version="1.0" encoding="utf-8"?>
<sst xmlns="http://schemas.openxmlformats.org/spreadsheetml/2006/main" count="84" uniqueCount="75">
  <si>
    <t>합산 점수</t>
    <phoneticPr fontId="1" type="noConversion"/>
  </si>
  <si>
    <t>재무제표 체크리스트</t>
    <phoneticPr fontId="1" type="noConversion"/>
  </si>
  <si>
    <t>손익계산서</t>
    <phoneticPr fontId="1" type="noConversion"/>
  </si>
  <si>
    <t>재무상태표</t>
    <phoneticPr fontId="1" type="noConversion"/>
  </si>
  <si>
    <t>현금흐름표</t>
    <phoneticPr fontId="1" type="noConversion"/>
  </si>
  <si>
    <t>1. 매출이 성장하고 있는가?</t>
    <phoneticPr fontId="1" type="noConversion"/>
  </si>
  <si>
    <t>2. 순이익이 성장하고 있는가?</t>
    <phoneticPr fontId="1" type="noConversion"/>
  </si>
  <si>
    <t>3. 매출 규모가 동종 업계 대비 좋은가?</t>
    <phoneticPr fontId="1" type="noConversion"/>
  </si>
  <si>
    <t>4. 순이익률이 동종 업계 대비 좋은가?</t>
    <phoneticPr fontId="1" type="noConversion"/>
  </si>
  <si>
    <t>4. 매출채권과 매입채무는 적절한가?</t>
    <phoneticPr fontId="1" type="noConversion"/>
  </si>
  <si>
    <t>1. 당기순이익과 영업활동 현금흐름 비교</t>
    <phoneticPr fontId="1" type="noConversion"/>
  </si>
  <si>
    <r>
      <t>2</t>
    </r>
    <r>
      <rPr>
        <sz val="12"/>
        <color rgb="FF000000"/>
        <rFont val="굴림"/>
        <family val="3"/>
        <charset val="129"/>
      </rPr>
      <t>. 잉여 현금흐름의 추이는?</t>
    </r>
    <phoneticPr fontId="1" type="noConversion"/>
  </si>
  <si>
    <t>3. 영업+, 투자-, 재무-</t>
    <phoneticPr fontId="1" type="noConversion"/>
  </si>
  <si>
    <t>4. 영업+, 투자-,재무+</t>
    <phoneticPr fontId="1" type="noConversion"/>
  </si>
  <si>
    <t>점수</t>
    <phoneticPr fontId="1" type="noConversion"/>
  </si>
  <si>
    <t>비고</t>
    <phoneticPr fontId="1" type="noConversion"/>
  </si>
  <si>
    <t>총      점</t>
    <phoneticPr fontId="1" type="noConversion"/>
  </si>
  <si>
    <t>매출 성장률에 따른 점수 표기</t>
    <phoneticPr fontId="1" type="noConversion"/>
  </si>
  <si>
    <t>순이익 성장률에 따른 점수 표기</t>
    <phoneticPr fontId="1" type="noConversion"/>
  </si>
  <si>
    <r>
      <rPr>
        <sz val="12"/>
        <color rgb="FF000000"/>
        <rFont val="맑은 고딕"/>
        <family val="3"/>
        <charset val="129"/>
      </rPr>
      <t>순이익률을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 xml:space="preserve">업계평균 및 타기업과 </t>
    </r>
    <r>
      <rPr>
        <sz val="12"/>
        <color rgb="FF000000"/>
        <rFont val="맑은 고딕"/>
        <family val="3"/>
        <charset val="129"/>
      </rPr>
      <t>비교해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표기</t>
    </r>
    <phoneticPr fontId="1" type="noConversion"/>
  </si>
  <si>
    <r>
      <rPr>
        <sz val="12"/>
        <color rgb="FF000000"/>
        <rFont val="맑은 고딕"/>
        <family val="3"/>
        <charset val="129"/>
      </rPr>
      <t>판관비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비율을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타기업과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비교해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표기</t>
    </r>
    <phoneticPr fontId="1" type="noConversion"/>
  </si>
  <si>
    <r>
      <rPr>
        <sz val="12"/>
        <color rgb="FF000000"/>
        <rFont val="맑은 고딕"/>
        <family val="3"/>
        <charset val="129"/>
      </rPr>
      <t>매출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규모를</t>
    </r>
    <r>
      <rPr>
        <sz val="12"/>
        <color rgb="FF000000"/>
        <rFont val="Arial"/>
        <family val="2"/>
      </rPr>
      <t xml:space="preserve">  </t>
    </r>
    <r>
      <rPr>
        <sz val="12"/>
        <color rgb="FF000000"/>
        <rFont val="돋움"/>
        <family val="2"/>
        <charset val="129"/>
      </rPr>
      <t xml:space="preserve">타기업과 </t>
    </r>
    <r>
      <rPr>
        <sz val="12"/>
        <color rgb="FF000000"/>
        <rFont val="맑은 고딕"/>
        <family val="3"/>
        <charset val="129"/>
      </rPr>
      <t>비교해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표기</t>
    </r>
    <phoneticPr fontId="1" type="noConversion"/>
  </si>
  <si>
    <t>5. 판관비 비용은 적절한가?</t>
    <phoneticPr fontId="1" type="noConversion"/>
  </si>
  <si>
    <r>
      <rPr>
        <sz val="12"/>
        <color rgb="FF000000"/>
        <rFont val="Lato"/>
        <family val="3"/>
      </rPr>
      <t>R&amp;D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비율을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타기업과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비교해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보고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점수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표기</t>
    </r>
    <phoneticPr fontId="1" type="noConversion"/>
  </si>
  <si>
    <t>부채비율은 적으면 적을수록 좋고 400%가 넘으면 투자 유의</t>
    <phoneticPr fontId="1" type="noConversion"/>
  </si>
  <si>
    <t>1. 부채비율은 적절한가?</t>
    <phoneticPr fontId="1" type="noConversion"/>
  </si>
  <si>
    <t>2. 유동비율이 좋은가?</t>
    <phoneticPr fontId="1" type="noConversion"/>
  </si>
  <si>
    <t>3. 당좌비율이 좋은가?</t>
    <phoneticPr fontId="1" type="noConversion"/>
  </si>
  <si>
    <t>유동비율은 100% 이상이 좋음</t>
    <phoneticPr fontId="1" type="noConversion"/>
  </si>
  <si>
    <t>당좌비율은 100% 이상이 좋음</t>
    <phoneticPr fontId="1" type="noConversion"/>
  </si>
  <si>
    <r>
      <rPr>
        <sz val="12"/>
        <color rgb="FF000000"/>
        <rFont val="맑은 고딕"/>
        <family val="3"/>
        <charset val="129"/>
      </rPr>
      <t>매출채권이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 xml:space="preserve">갑자기 </t>
    </r>
    <r>
      <rPr>
        <sz val="12"/>
        <color rgb="FF000000"/>
        <rFont val="맑은 고딕"/>
        <family val="3"/>
        <charset val="129"/>
      </rPr>
      <t>과다하게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많아지면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매출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조작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의심</t>
    </r>
    <phoneticPr fontId="1" type="noConversion"/>
  </si>
  <si>
    <t>금액 차이가 심하면 매출-&gt;채권회수 문제 의심</t>
    <phoneticPr fontId="1" type="noConversion"/>
  </si>
  <si>
    <t>충분한 현금을 보유하고 있어야 안정적</t>
    <phoneticPr fontId="1" type="noConversion"/>
  </si>
  <si>
    <t>영업활동과 차입금으로 투자를 많이 하고 있다는 의미</t>
    <phoneticPr fontId="1" type="noConversion"/>
  </si>
  <si>
    <t>6. R&amp;D 비용은 적절한가?</t>
    <phoneticPr fontId="1" type="noConversion"/>
  </si>
  <si>
    <t>5. 영업+, 투자+,재무-</t>
    <phoneticPr fontId="1" type="noConversion"/>
  </si>
  <si>
    <r>
      <rPr>
        <sz val="12"/>
        <color rgb="FF000000"/>
        <rFont val="맑은 고딕"/>
        <family val="3"/>
        <charset val="129"/>
      </rPr>
      <t>영업활동과</t>
    </r>
    <r>
      <rPr>
        <sz val="12"/>
        <color rgb="FF000000"/>
        <rFont val="Lato"/>
        <family val="2"/>
      </rPr>
      <t xml:space="preserve"> </t>
    </r>
    <r>
      <rPr>
        <sz val="12"/>
        <color rgb="FF000000"/>
        <rFont val="맑은 고딕"/>
        <family val="3"/>
        <charset val="129"/>
      </rPr>
      <t>투자회수를 통해 부채를 상환한다는 의미</t>
    </r>
    <phoneticPr fontId="1" type="noConversion"/>
  </si>
  <si>
    <r>
      <rPr>
        <sz val="12"/>
        <color rgb="FF000000"/>
        <rFont val="맑은 고딕"/>
        <family val="3"/>
        <charset val="129"/>
      </rPr>
      <t>영업활동으로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2"/>
        <charset val="129"/>
      </rPr>
      <t xml:space="preserve">번 돈을 </t>
    </r>
    <r>
      <rPr>
        <sz val="12"/>
        <color rgb="FF000000"/>
        <rFont val="맑은 고딕"/>
        <family val="3"/>
        <charset val="129"/>
      </rPr>
      <t>투자도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많이 하고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부채도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갚는다는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의미</t>
    </r>
    <phoneticPr fontId="1" type="noConversion"/>
  </si>
  <si>
    <t>IIVI</t>
    <phoneticPr fontId="1" type="noConversion"/>
  </si>
  <si>
    <t>Seeking Alpha</t>
    <phoneticPr fontId="1" type="noConversion"/>
  </si>
  <si>
    <t>Finance.Net Income</t>
    <phoneticPr fontId="1" type="noConversion"/>
  </si>
  <si>
    <t>Peers.Income Statement.Revenues</t>
    <phoneticPr fontId="1" type="noConversion"/>
  </si>
  <si>
    <t xml:space="preserve">Peers.Profitability.Net Income Margin(순이익률)
</t>
    <phoneticPr fontId="1" type="noConversion"/>
  </si>
  <si>
    <t>Financials.Operating Expenses.R&amp;D Expenses
- view: Absolute</t>
    <phoneticPr fontId="1" type="noConversion"/>
  </si>
  <si>
    <t>h</t>
    <phoneticPr fontId="1" type="noConversion"/>
  </si>
  <si>
    <t>1. Financials.Revenues
2. Growth.Revenue</t>
    <phoneticPr fontId="1" type="noConversion"/>
  </si>
  <si>
    <t>(67)
-67</t>
    <phoneticPr fontId="1" type="noConversion"/>
  </si>
  <si>
    <t>3.11B</t>
    <phoneticPr fontId="1" type="noConversion"/>
  </si>
  <si>
    <t>Financials.Operating Expenses.Total Operating Expenses
Financials.Operating Expenses.Selling*
Financials.Operating Expenses.R&amp;D Expenses
- view: As a % of Renvenue</t>
    <phoneticPr fontId="1" type="noConversion"/>
  </si>
  <si>
    <t>26%
15%
10%</t>
    <phoneticPr fontId="1" type="noConversion"/>
  </si>
  <si>
    <t>3,105
30%</t>
    <phoneticPr fontId="1" type="noConversion"/>
  </si>
  <si>
    <t xml:space="preserve">부채비율= 총부채/총자본*100
Financials.Balance Sheet.Total Liabilities(총부채)
Financials.Balance Sheet.Total Common Equity(총자산)
</t>
    <phoneticPr fontId="1" type="noConversion"/>
  </si>
  <si>
    <t xml:space="preserve">
2,380
2,960</t>
    <phoneticPr fontId="1" type="noConversion"/>
  </si>
  <si>
    <t>80%(200% 이하면 양호)</t>
    <phoneticPr fontId="1" type="noConversion"/>
  </si>
  <si>
    <t>Peers.Balance Sheet.Current Ratio</t>
    <phoneticPr fontId="1" type="noConversion"/>
  </si>
  <si>
    <t xml:space="preserve">Peers.Balance Sheet.Quick Ratio </t>
    <phoneticPr fontId="1" type="noConversion"/>
  </si>
  <si>
    <t>100% 이상이면 양호</t>
    <phoneticPr fontId="1" type="noConversion"/>
  </si>
  <si>
    <t>Financials.Revenues</t>
    <phoneticPr fontId="1" type="noConversion"/>
  </si>
  <si>
    <t>Financials.Balance Sheet.Accounts Receivable</t>
    <phoneticPr fontId="1" type="noConversion"/>
  </si>
  <si>
    <t>매출</t>
    <phoneticPr fontId="1" type="noConversion"/>
  </si>
  <si>
    <t>매출채권</t>
    <phoneticPr fontId="1" type="noConversion"/>
  </si>
  <si>
    <t>매출/메출채권</t>
    <phoneticPr fontId="1" type="noConversion"/>
  </si>
  <si>
    <t>이 비율이 커지면
물건은 나가는데 돈은 못 받는 상황</t>
    <phoneticPr fontId="1" type="noConversion"/>
  </si>
  <si>
    <t>매출채권: 받아야 할 돈 
회사 통장에는 없지만 곧 들어올 돈(유동자산)</t>
    <phoneticPr fontId="1" type="noConversion"/>
  </si>
  <si>
    <t>매입채무: 줘야할 돈
물건은 샀지만 아직 돈을 안 줌</t>
    <phoneticPr fontId="1" type="noConversion"/>
  </si>
  <si>
    <t>Financials.Balance Sheet.Account Receivable(매출채권)
Financials.Balance Sheet.Accounts Payable(매입채무)</t>
    <phoneticPr fontId="1" type="noConversion"/>
  </si>
  <si>
    <t>659
294</t>
    <phoneticPr fontId="1" type="noConversion"/>
  </si>
  <si>
    <t>매입채무</t>
    <phoneticPr fontId="1" type="noConversion"/>
  </si>
  <si>
    <t>매입채무/매출</t>
    <phoneticPr fontId="1" type="noConversion"/>
  </si>
  <si>
    <t>Financials.Cash Flow
Period Type: Quarterly</t>
    <phoneticPr fontId="1" type="noConversion"/>
  </si>
  <si>
    <t>Net Income
Cash From Operations</t>
    <phoneticPr fontId="1" type="noConversion"/>
  </si>
  <si>
    <t>82.3
127.5</t>
    <phoneticPr fontId="1" type="noConversion"/>
  </si>
  <si>
    <t>순이익보다 영업활동 현금이 더 많으면 이슈 없고,
순이익보다 영업활동 현금이 더 적으면 원인 파악</t>
    <phoneticPr fontId="1" type="noConversion"/>
  </si>
  <si>
    <t>Levered Free Cash Flow(이자 차감 이후 현금흐름)</t>
    <phoneticPr fontId="1" type="noConversion"/>
  </si>
  <si>
    <r>
      <t>Cash from Operations
Cash from Investing(</t>
    </r>
    <r>
      <rPr>
        <sz val="11"/>
        <color rgb="FF000000"/>
        <rFont val="돋움"/>
        <family val="3"/>
        <charset val="129"/>
      </rPr>
      <t>투자활동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현금흐름</t>
    </r>
    <r>
      <rPr>
        <sz val="11"/>
        <color rgb="FF000000"/>
        <rFont val="Arial"/>
        <family val="2"/>
      </rPr>
      <t>)
Cash from Financing(</t>
    </r>
    <r>
      <rPr>
        <sz val="11"/>
        <color rgb="FF000000"/>
        <rFont val="돋움"/>
        <family val="3"/>
        <charset val="129"/>
      </rPr>
      <t>재무활동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현금흐름</t>
    </r>
    <r>
      <rPr>
        <sz val="11"/>
        <color rgb="FF000000"/>
        <rFont val="Arial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</si>
</sst>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배달의민족 도현"/>
      <family val="3"/>
      <charset val="129"/>
    </font>
    <font>
      <b/>
      <sz val="12"/>
      <color rgb="FF000000"/>
      <name val="Lato"/>
    </font>
    <font>
      <sz val="12"/>
      <color theme="1"/>
      <name val="맑은 고딕"/>
      <family val="2"/>
      <charset val="129"/>
      <scheme val="minor"/>
    </font>
    <font>
      <b/>
      <sz val="12"/>
      <color rgb="FF1F1F9C"/>
      <name val="맑은 고딕"/>
      <family val="3"/>
      <charset val="129"/>
    </font>
    <font>
      <sz val="12"/>
      <color rgb="FF000000"/>
      <name val="굴림"/>
      <family val="3"/>
      <charset val="129"/>
    </font>
    <font>
      <sz val="12"/>
      <color rgb="FF000000"/>
      <name val="맑은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Lato"/>
      <family val="2"/>
    </font>
    <font>
      <sz val="12"/>
      <color rgb="FF00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돋움"/>
      <family val="2"/>
      <charset val="129"/>
    </font>
    <font>
      <sz val="12"/>
      <color rgb="FF000000"/>
      <name val="Lato"/>
      <family val="3"/>
      <charset val="129"/>
    </font>
    <font>
      <sz val="12"/>
      <color rgb="FF000000"/>
      <name val="Lato"/>
      <family val="3"/>
    </font>
    <font>
      <b/>
      <sz val="18"/>
      <color rgb="FF1F1F9C"/>
      <name val="맑은 고딕"/>
      <family val="3"/>
      <charset val="129"/>
    </font>
    <font>
      <b/>
      <sz val="18"/>
      <color rgb="FF000000"/>
      <name val="Lato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10" fontId="9" fillId="2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0" fontId="13" fillId="2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9" fontId="0" fillId="0" borderId="0" xfId="0" applyNumberFormat="1">
      <alignment vertical="center"/>
    </xf>
    <xf numFmtId="0" fontId="0" fillId="0" borderId="0" xfId="0" applyFont="1">
      <alignment vertical="center"/>
    </xf>
    <xf numFmtId="4" fontId="18" fillId="2" borderId="6" xfId="0" applyNumberFormat="1" applyFont="1" applyFill="1" applyBorder="1" applyAlignment="1">
      <alignment horizontal="right" vertical="center" wrapText="1"/>
    </xf>
    <xf numFmtId="0" fontId="18" fillId="2" borderId="6" xfId="0" applyFont="1" applyFill="1" applyBorder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76" fontId="16" fillId="4" borderId="1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zoomScale="70" zoomScaleNormal="70" workbookViewId="0">
      <selection activeCell="E21" sqref="E21"/>
    </sheetView>
  </sheetViews>
  <sheetFormatPr defaultRowHeight="17.5"/>
  <cols>
    <col min="1" max="1" width="44.75" style="5" customWidth="1"/>
    <col min="2" max="2" width="15.58203125" style="5" customWidth="1"/>
    <col min="3" max="3" width="57.5" style="5" customWidth="1"/>
    <col min="4" max="4" width="42.6640625" style="19" bestFit="1" customWidth="1"/>
    <col min="5" max="5" width="8.6640625" style="15"/>
    <col min="6" max="6" width="23.08203125" bestFit="1" customWidth="1"/>
  </cols>
  <sheetData>
    <row r="1" spans="1:7" ht="44.25" customHeight="1">
      <c r="A1" s="26" t="s">
        <v>1</v>
      </c>
      <c r="B1" s="26"/>
      <c r="C1" s="26"/>
      <c r="D1" s="19" t="s">
        <v>39</v>
      </c>
    </row>
    <row r="2" spans="1:7" ht="27" customHeight="1">
      <c r="A2" s="1" t="s">
        <v>2</v>
      </c>
      <c r="B2" s="8" t="s">
        <v>14</v>
      </c>
      <c r="C2" s="8" t="s">
        <v>44</v>
      </c>
      <c r="D2" s="19" t="s">
        <v>38</v>
      </c>
    </row>
    <row r="3" spans="1:7" ht="34">
      <c r="A3" s="2" t="s">
        <v>5</v>
      </c>
      <c r="B3" s="6">
        <v>10</v>
      </c>
      <c r="C3" s="6" t="s">
        <v>17</v>
      </c>
      <c r="D3" s="20" t="s">
        <v>45</v>
      </c>
      <c r="E3" s="16" t="s">
        <v>50</v>
      </c>
    </row>
    <row r="4" spans="1:7" ht="34">
      <c r="A4" s="2" t="s">
        <v>6</v>
      </c>
      <c r="B4" s="6">
        <v>10</v>
      </c>
      <c r="C4" s="6" t="s">
        <v>18</v>
      </c>
      <c r="D4" s="19" t="s">
        <v>40</v>
      </c>
      <c r="E4" s="16" t="s">
        <v>46</v>
      </c>
    </row>
    <row r="5" spans="1:7">
      <c r="A5" s="2" t="s">
        <v>7</v>
      </c>
      <c r="B5" s="6">
        <v>10</v>
      </c>
      <c r="C5" s="9" t="s">
        <v>21</v>
      </c>
      <c r="D5" s="19" t="s">
        <v>41</v>
      </c>
      <c r="E5" s="15" t="s">
        <v>47</v>
      </c>
    </row>
    <row r="6" spans="1:7" ht="34">
      <c r="A6" s="2" t="s">
        <v>8</v>
      </c>
      <c r="B6" s="6">
        <v>10</v>
      </c>
      <c r="C6" s="9" t="s">
        <v>19</v>
      </c>
      <c r="D6" s="20" t="s">
        <v>42</v>
      </c>
      <c r="E6" s="17">
        <v>9.5799999999999996E-2</v>
      </c>
    </row>
    <row r="7" spans="1:7" ht="85">
      <c r="A7" s="2" t="s">
        <v>22</v>
      </c>
      <c r="B7" s="6">
        <v>10</v>
      </c>
      <c r="C7" s="9" t="s">
        <v>20</v>
      </c>
      <c r="D7" s="20" t="s">
        <v>48</v>
      </c>
      <c r="E7" s="18" t="s">
        <v>49</v>
      </c>
    </row>
    <row r="8" spans="1:7" ht="27" customHeight="1">
      <c r="A8" s="2" t="s">
        <v>34</v>
      </c>
      <c r="B8" s="6">
        <v>10</v>
      </c>
      <c r="C8" s="9" t="s">
        <v>23</v>
      </c>
      <c r="D8" s="20" t="s">
        <v>43</v>
      </c>
      <c r="E8" s="15">
        <v>330</v>
      </c>
    </row>
    <row r="9" spans="1:7" ht="27" customHeight="1">
      <c r="A9" s="3" t="s">
        <v>0</v>
      </c>
      <c r="B9" s="27">
        <f>SUM(B3:B8)</f>
        <v>60</v>
      </c>
      <c r="C9" s="27"/>
    </row>
    <row r="10" spans="1:7" ht="24.75" customHeight="1">
      <c r="A10" s="1" t="s">
        <v>3</v>
      </c>
      <c r="B10" s="8" t="s">
        <v>14</v>
      </c>
      <c r="C10" s="8" t="s">
        <v>15</v>
      </c>
    </row>
    <row r="11" spans="1:7" ht="85">
      <c r="A11" s="2" t="s">
        <v>25</v>
      </c>
      <c r="B11" s="6">
        <v>10</v>
      </c>
      <c r="C11" s="6" t="s">
        <v>24</v>
      </c>
      <c r="D11" s="20" t="s">
        <v>51</v>
      </c>
      <c r="E11" s="16" t="s">
        <v>52</v>
      </c>
      <c r="F11" t="s">
        <v>53</v>
      </c>
    </row>
    <row r="12" spans="1:7" ht="24.75" customHeight="1">
      <c r="A12" s="2" t="s">
        <v>26</v>
      </c>
      <c r="B12" s="6">
        <v>10</v>
      </c>
      <c r="C12" s="6" t="s">
        <v>28</v>
      </c>
      <c r="D12" s="19" t="s">
        <v>54</v>
      </c>
      <c r="E12" s="15">
        <v>4.1500000000000004</v>
      </c>
      <c r="F12" s="21">
        <v>4.1500000000000004</v>
      </c>
      <c r="G12" t="s">
        <v>56</v>
      </c>
    </row>
    <row r="13" spans="1:7" ht="24.75" customHeight="1">
      <c r="A13" s="2" t="s">
        <v>27</v>
      </c>
      <c r="B13" s="6">
        <v>10</v>
      </c>
      <c r="C13" s="6" t="s">
        <v>29</v>
      </c>
      <c r="D13" s="19" t="s">
        <v>55</v>
      </c>
      <c r="E13" s="15">
        <v>3.09</v>
      </c>
      <c r="F13" s="21">
        <v>3.09</v>
      </c>
      <c r="G13" t="s">
        <v>56</v>
      </c>
    </row>
    <row r="14" spans="1:7" ht="102">
      <c r="A14" s="2" t="s">
        <v>9</v>
      </c>
      <c r="B14" s="6">
        <v>10</v>
      </c>
      <c r="C14" s="9" t="s">
        <v>30</v>
      </c>
      <c r="D14" s="20" t="s">
        <v>65</v>
      </c>
      <c r="E14" s="16" t="s">
        <v>66</v>
      </c>
      <c r="F14" s="13" t="s">
        <v>63</v>
      </c>
      <c r="G14" s="13" t="s">
        <v>64</v>
      </c>
    </row>
    <row r="15" spans="1:7" ht="22.5" customHeight="1">
      <c r="A15" s="3" t="s">
        <v>0</v>
      </c>
      <c r="B15" s="27">
        <f>SUM(B11:B14)</f>
        <v>40</v>
      </c>
      <c r="C15" s="27"/>
    </row>
    <row r="16" spans="1:7" ht="34">
      <c r="A16" s="1" t="s">
        <v>4</v>
      </c>
      <c r="B16" s="8" t="s">
        <v>14</v>
      </c>
      <c r="C16" s="8" t="s">
        <v>15</v>
      </c>
      <c r="D16" s="20" t="s">
        <v>69</v>
      </c>
    </row>
    <row r="17" spans="1:6" ht="68">
      <c r="A17" s="2" t="s">
        <v>10</v>
      </c>
      <c r="B17" s="6">
        <v>10</v>
      </c>
      <c r="C17" s="10" t="s">
        <v>31</v>
      </c>
      <c r="D17" s="20" t="s">
        <v>70</v>
      </c>
      <c r="E17" s="25" t="s">
        <v>71</v>
      </c>
      <c r="F17" s="13" t="s">
        <v>72</v>
      </c>
    </row>
    <row r="18" spans="1:6" ht="25.5" customHeight="1">
      <c r="A18" s="4" t="s">
        <v>11</v>
      </c>
      <c r="B18" s="6">
        <v>10</v>
      </c>
      <c r="C18" s="6" t="s">
        <v>32</v>
      </c>
      <c r="D18" s="19" t="s">
        <v>73</v>
      </c>
      <c r="E18" s="15">
        <v>53.2</v>
      </c>
    </row>
    <row r="19" spans="1:6" ht="43">
      <c r="A19" s="2" t="s">
        <v>12</v>
      </c>
      <c r="B19" s="29">
        <v>10</v>
      </c>
      <c r="C19" s="9" t="s">
        <v>37</v>
      </c>
      <c r="D19" s="25" t="s">
        <v>74</v>
      </c>
    </row>
    <row r="20" spans="1:6" ht="25.5" customHeight="1">
      <c r="A20" s="2" t="s">
        <v>13</v>
      </c>
      <c r="B20" s="30"/>
      <c r="C20" s="7" t="s">
        <v>33</v>
      </c>
    </row>
    <row r="21" spans="1:6" ht="25.5" customHeight="1">
      <c r="A21" s="2" t="s">
        <v>35</v>
      </c>
      <c r="B21" s="31"/>
      <c r="C21" s="11" t="s">
        <v>36</v>
      </c>
    </row>
    <row r="22" spans="1:6" ht="22.5" customHeight="1">
      <c r="A22" s="3" t="s">
        <v>0</v>
      </c>
      <c r="B22" s="27">
        <f>SUM(B17:B21)</f>
        <v>30</v>
      </c>
      <c r="C22" s="27"/>
    </row>
    <row r="23" spans="1:6" ht="27.75" customHeight="1"/>
    <row r="24" spans="1:6" ht="43.5" customHeight="1">
      <c r="A24" s="12" t="s">
        <v>16</v>
      </c>
      <c r="B24" s="28">
        <f>(B9+B15+B22)/130*100</f>
        <v>100</v>
      </c>
      <c r="C24" s="28"/>
    </row>
  </sheetData>
  <mergeCells count="6">
    <mergeCell ref="A1:C1"/>
    <mergeCell ref="B9:C9"/>
    <mergeCell ref="B15:C15"/>
    <mergeCell ref="B22:C22"/>
    <mergeCell ref="B24:C24"/>
    <mergeCell ref="B19:B2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D13" sqref="D13:G13"/>
    </sheetView>
  </sheetViews>
  <sheetFormatPr defaultRowHeight="17"/>
  <cols>
    <col min="3" max="3" width="40.5" bestFit="1" customWidth="1"/>
  </cols>
  <sheetData>
    <row r="1" spans="1:8">
      <c r="A1" s="22"/>
      <c r="B1" s="22"/>
      <c r="C1" s="22"/>
      <c r="D1" s="22"/>
      <c r="E1" s="22"/>
      <c r="F1" s="22"/>
      <c r="G1" s="22"/>
      <c r="H1" s="22"/>
    </row>
    <row r="2" spans="1:8">
      <c r="A2" s="22"/>
      <c r="B2" s="22"/>
      <c r="C2" s="22"/>
      <c r="D2" s="22"/>
      <c r="E2" s="22"/>
      <c r="F2" s="22"/>
      <c r="G2" s="22"/>
      <c r="H2" s="22"/>
    </row>
    <row r="3" spans="1:8" ht="17.5" thickBot="1">
      <c r="A3" s="22"/>
      <c r="B3" s="22"/>
      <c r="C3" s="22"/>
      <c r="D3" s="22">
        <v>2018</v>
      </c>
      <c r="E3" s="22"/>
      <c r="F3" s="22"/>
      <c r="G3" s="22">
        <v>2021</v>
      </c>
      <c r="H3" s="22"/>
    </row>
    <row r="4" spans="1:8" ht="17.5" thickBot="1">
      <c r="A4" s="22"/>
      <c r="B4" s="22" t="s">
        <v>59</v>
      </c>
      <c r="C4" s="22" t="s">
        <v>57</v>
      </c>
      <c r="D4" s="23">
        <v>1158.8</v>
      </c>
      <c r="E4" s="23">
        <v>1362.5</v>
      </c>
      <c r="F4" s="23">
        <v>2380.1</v>
      </c>
      <c r="G4" s="23">
        <v>3105.9</v>
      </c>
      <c r="H4" s="22"/>
    </row>
    <row r="5" spans="1:8" ht="17.5" thickBot="1">
      <c r="A5" s="22"/>
      <c r="B5" s="22" t="s">
        <v>60</v>
      </c>
      <c r="C5" s="22" t="s">
        <v>58</v>
      </c>
      <c r="D5" s="24">
        <v>215</v>
      </c>
      <c r="E5" s="24">
        <v>269.60000000000002</v>
      </c>
      <c r="F5" s="24">
        <v>598.1</v>
      </c>
      <c r="G5" s="24">
        <v>659</v>
      </c>
      <c r="H5" s="22"/>
    </row>
    <row r="6" spans="1:8" ht="102">
      <c r="B6" t="s">
        <v>61</v>
      </c>
      <c r="D6" s="14">
        <f>D5/D4</f>
        <v>0.18553676216775977</v>
      </c>
      <c r="E6" s="14">
        <f t="shared" ref="E6:G6" si="0">E5/E4</f>
        <v>0.19787155963302755</v>
      </c>
      <c r="F6" s="14">
        <f t="shared" si="0"/>
        <v>0.25129196252258312</v>
      </c>
      <c r="G6" s="14">
        <f t="shared" si="0"/>
        <v>0.21217682475288965</v>
      </c>
      <c r="H6" s="13" t="s">
        <v>62</v>
      </c>
    </row>
    <row r="10" spans="1:8" ht="17.5" thickBot="1">
      <c r="D10" s="22">
        <v>2018</v>
      </c>
      <c r="E10" s="22"/>
      <c r="F10" s="22"/>
      <c r="G10" s="22">
        <v>2021</v>
      </c>
    </row>
    <row r="11" spans="1:8" ht="17.5" thickBot="1">
      <c r="B11" s="22" t="s">
        <v>59</v>
      </c>
      <c r="C11" s="22" t="s">
        <v>57</v>
      </c>
      <c r="D11" s="23">
        <v>1158.8</v>
      </c>
      <c r="E11" s="23">
        <v>1362.5</v>
      </c>
      <c r="F11" s="23">
        <v>2380.1</v>
      </c>
      <c r="G11" s="23">
        <v>3105.9</v>
      </c>
    </row>
    <row r="12" spans="1:8" ht="17.5" thickBot="1">
      <c r="B12" s="22" t="s">
        <v>67</v>
      </c>
      <c r="C12" s="22" t="s">
        <v>58</v>
      </c>
      <c r="D12" s="24">
        <v>89.8</v>
      </c>
      <c r="E12" s="24">
        <v>104.5</v>
      </c>
      <c r="F12" s="24">
        <v>268.8</v>
      </c>
      <c r="G12" s="24">
        <v>294.5</v>
      </c>
    </row>
    <row r="13" spans="1:8">
      <c r="B13" t="s">
        <v>68</v>
      </c>
      <c r="D13" s="14">
        <f>D12/D11</f>
        <v>7.7493959268208498E-2</v>
      </c>
      <c r="E13" s="14">
        <f t="shared" ref="E13:G13" si="1">E12/E11</f>
        <v>7.6697247706422014E-2</v>
      </c>
      <c r="F13" s="14">
        <f t="shared" si="1"/>
        <v>0.11293643124238478</v>
      </c>
      <c r="G13" s="14">
        <f t="shared" si="1"/>
        <v>9.4819537010206373E-2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매출과 매출채권 비율 계산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hunce</dc:creator>
  <cp:lastModifiedBy>user</cp:lastModifiedBy>
  <dcterms:created xsi:type="dcterms:W3CDTF">2020-08-16T13:42:03Z</dcterms:created>
  <dcterms:modified xsi:type="dcterms:W3CDTF">2021-10-11T10:14:28Z</dcterms:modified>
</cp:coreProperties>
</file>